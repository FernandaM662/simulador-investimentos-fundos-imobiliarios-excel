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65b5d25d1b03c5/Documentos/"/>
    </mc:Choice>
  </mc:AlternateContent>
  <xr:revisionPtr revIDLastSave="637" documentId="8_{3CD107F1-B456-4E5D-9C47-64B6F8066C57}" xr6:coauthVersionLast="47" xr6:coauthVersionMax="47" xr10:uidLastSave="{0D7CC970-16D5-4F03-87EB-808579C8FD9A}"/>
  <bookViews>
    <workbookView xWindow="-108" yWindow="-108" windowWidth="23256" windowHeight="12456" xr2:uid="{40773585-0F4D-45D3-A6C0-A42B857C4250}"/>
  </bookViews>
  <sheets>
    <sheet name="APP" sheetId="1" r:id="rId1"/>
    <sheet name="Planilha2" sheetId="2" r:id="rId2"/>
  </sheets>
  <definedNames>
    <definedName name="aporte">APP!$D$12</definedName>
    <definedName name="patrimonio">APP!$D$15</definedName>
    <definedName name="qtd_anos">APP!$D$13</definedName>
    <definedName name="rendimento">APP!$D$8</definedName>
    <definedName name="rendimento_carteira">APP!$D$8</definedName>
    <definedName name="salario">APP!$D$7</definedName>
    <definedName name="salário">APP!$D$7</definedName>
    <definedName name="sugestao_investimento">APP!$D$9</definedName>
    <definedName name="taxa_mensal">APP!$D$14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C32" i="1"/>
  <c r="C33" i="1"/>
  <c r="C34" i="1"/>
  <c r="C35" i="1"/>
  <c r="C30" i="1"/>
  <c r="H5" i="2"/>
  <c r="A11" i="2"/>
  <c r="A12" i="2"/>
  <c r="A13" i="2"/>
  <c r="A14" i="2"/>
  <c r="A15" i="2"/>
  <c r="A16" i="2"/>
  <c r="A17" i="2"/>
  <c r="A18" i="2"/>
  <c r="A19" i="2"/>
  <c r="A20" i="2"/>
  <c r="A21" i="2"/>
  <c r="A10" i="2"/>
  <c r="A5" i="2"/>
  <c r="A6" i="2"/>
  <c r="A7" i="2"/>
  <c r="A8" i="2"/>
  <c r="A9" i="2"/>
  <c r="A4" i="2"/>
  <c r="C27" i="1"/>
  <c r="D9" i="1"/>
  <c r="D15" i="1"/>
  <c r="D16" i="1" s="1"/>
  <c r="C20" i="1"/>
  <c r="D20" i="1" s="1"/>
  <c r="C21" i="1"/>
  <c r="D21" i="1" s="1"/>
  <c r="C22" i="1"/>
  <c r="D22" i="1" s="1"/>
  <c r="C23" i="1"/>
  <c r="D23" i="1" s="1"/>
  <c r="C19" i="1"/>
  <c r="D19" i="1" s="1"/>
  <c r="D31" i="1" l="1"/>
  <c r="D30" i="1"/>
  <c r="D35" i="1"/>
  <c r="D34" i="1"/>
  <c r="D33" i="1"/>
  <c r="D32" i="1"/>
  <c r="D36" i="1"/>
</calcChain>
</file>

<file path=xl/sharedStrings.xml><?xml version="1.0" encoding="utf-8"?>
<sst xmlns="http://schemas.openxmlformats.org/spreadsheetml/2006/main" count="72" uniqueCount="36">
  <si>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</si>
  <si>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</si>
  <si>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</si>
  <si>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</si>
  <si>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</si>
  <si>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</si>
  <si>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ANOS?</t>
  </si>
  <si>
    <t>QUANTOS EM 5 ANOS?</t>
  </si>
  <si>
    <t>QUANTO EM 10 ANOS?</t>
  </si>
  <si>
    <t>QUANTO EM 20 ANOS?</t>
  </si>
  <si>
    <t>QUANTOS EM 30 ANOS?</t>
  </si>
  <si>
    <t>CONFIGURAÇÕES</t>
  </si>
  <si>
    <t>Salário</t>
  </si>
  <si>
    <t>Rendimentos Carteira</t>
  </si>
  <si>
    <t>CENÁRIOS</t>
  </si>
  <si>
    <t>DIVIDENDO</t>
  </si>
  <si>
    <t>PERFIL</t>
  </si>
  <si>
    <t>VALOR A SER INVESTIDO POR MÊS</t>
  </si>
  <si>
    <t>TIPO DE FI</t>
  </si>
  <si>
    <t>VALORES</t>
  </si>
  <si>
    <t>PERCENTUAL SUGERIDO</t>
  </si>
  <si>
    <t>PAPEL</t>
  </si>
  <si>
    <t>TIJOLO</t>
  </si>
  <si>
    <t>HÍBRIDOS</t>
  </si>
  <si>
    <t xml:space="preserve">FOF's </t>
  </si>
  <si>
    <t>DESENVOLVIMENTO</t>
  </si>
  <si>
    <t>HOTELARIAS</t>
  </si>
  <si>
    <t>TIPO DE FII</t>
  </si>
  <si>
    <t>CONSERVADOR</t>
  </si>
  <si>
    <t>%</t>
  </si>
  <si>
    <t>CHAVE</t>
  </si>
  <si>
    <t>MODERADO</t>
  </si>
  <si>
    <t>AGRESSIVO</t>
  </si>
  <si>
    <t>MODERADO-TIJOLO</t>
  </si>
  <si>
    <t>Moderado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</si>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</sst>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0"/>
      <color theme="0"/>
      <name val="Sabon Next LT"/>
    </font>
    <font>
      <b/>
      <sz val="11"/>
      <color theme="1"/>
      <name val="Sabon Next LT"/>
    </font>
    <font>
      <b/>
      <sz val="12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ashed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5" borderId="0" applyNumberFormat="0" applyBorder="0" applyAlignment="0" applyProtection="0"/>
  </cellStyleXfs>
  <cellXfs count="57">
    <xf numFmtId="0" fontId="0" fillId="0" borderId="0" xfId="0"/>
    <xf numFmtId="8" fontId="0" fillId="0" borderId="0" xfId="0" applyNumberFormat="1" applyAlignment="1">
      <alignment horizontal="center"/>
    </xf>
    <xf numFmtId="8" fontId="0" fillId="0" borderId="0" xfId="0" applyNumberFormat="1"/>
    <xf numFmtId="0" fontId="2" fillId="0" borderId="0" xfId="0" applyFont="1"/>
    <xf numFmtId="9" fontId="0" fillId="0" borderId="0" xfId="2" applyFont="1"/>
    <xf numFmtId="164" fontId="0" fillId="0" borderId="5" xfId="1" applyNumberFormat="1" applyFont="1" applyBorder="1" applyAlignment="1">
      <alignment horizontal="center"/>
    </xf>
    <xf numFmtId="10" fontId="0" fillId="0" borderId="5" xfId="2" applyNumberFormat="1" applyFont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  <xf numFmtId="0" fontId="4" fillId="3" borderId="4" xfId="0" applyFont="1" applyFill="1" applyBorder="1" applyAlignment="1">
      <alignment horizontal="left" indent="8"/>
    </xf>
    <xf numFmtId="0" fontId="4" fillId="3" borderId="6" xfId="0" applyFont="1" applyFill="1" applyBorder="1" applyAlignment="1">
      <alignment horizontal="left" indent="8"/>
    </xf>
    <xf numFmtId="0" fontId="6" fillId="0" borderId="0" xfId="0" applyFont="1"/>
    <xf numFmtId="0" fontId="5" fillId="2" borderId="2" xfId="0" applyFont="1" applyFill="1" applyBorder="1" applyAlignment="1">
      <alignment vertical="center"/>
    </xf>
    <xf numFmtId="164" fontId="3" fillId="0" borderId="12" xfId="1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5" xfId="2" applyNumberFormat="1" applyFont="1" applyBorder="1" applyAlignment="1">
      <alignment horizontal="center"/>
    </xf>
    <xf numFmtId="8" fontId="3" fillId="3" borderId="5" xfId="0" applyNumberFormat="1" applyFont="1" applyFill="1" applyBorder="1" applyAlignment="1">
      <alignment horizontal="center"/>
    </xf>
    <xf numFmtId="8" fontId="3" fillId="3" borderId="8" xfId="0" applyNumberFormat="1" applyFont="1" applyFill="1" applyBorder="1" applyAlignment="1">
      <alignment horizontal="center"/>
    </xf>
    <xf numFmtId="0" fontId="8" fillId="5" borderId="0" xfId="3" applyBorder="1" applyAlignment="1">
      <alignment horizontal="left" indent="8"/>
    </xf>
    <xf numFmtId="0" fontId="0" fillId="6" borderId="0" xfId="0" applyFill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6" borderId="0" xfId="0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0" fillId="0" borderId="13" xfId="0" applyBorder="1"/>
    <xf numFmtId="0" fontId="0" fillId="0" borderId="13" xfId="0" applyBorder="1" applyAlignment="1">
      <alignment horizontal="center"/>
    </xf>
    <xf numFmtId="9" fontId="0" fillId="0" borderId="13" xfId="0" applyNumberFormat="1" applyBorder="1" applyAlignment="1">
      <alignment horizontal="center"/>
    </xf>
    <xf numFmtId="0" fontId="0" fillId="7" borderId="0" xfId="0" applyFill="1"/>
    <xf numFmtId="9" fontId="0" fillId="7" borderId="0" xfId="2" applyFont="1" applyFill="1"/>
    <xf numFmtId="0" fontId="8" fillId="5" borderId="0" xfId="3" applyAlignment="1">
      <alignment horizontal="center"/>
    </xf>
    <xf numFmtId="164" fontId="0" fillId="8" borderId="0" xfId="0" applyNumberForma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left" indent="8"/>
    </xf>
    <xf numFmtId="0" fontId="4" fillId="3" borderId="11" xfId="0" applyFont="1" applyFill="1" applyBorder="1" applyAlignment="1">
      <alignment horizontal="left" indent="8"/>
    </xf>
    <xf numFmtId="0" fontId="4" fillId="3" borderId="4" xfId="0" applyFont="1" applyFill="1" applyBorder="1" applyAlignment="1">
      <alignment horizontal="left" indent="8"/>
    </xf>
    <xf numFmtId="0" fontId="4" fillId="3" borderId="3" xfId="0" applyFont="1" applyFill="1" applyBorder="1" applyAlignment="1">
      <alignment horizontal="left" indent="8"/>
    </xf>
    <xf numFmtId="0" fontId="4" fillId="3" borderId="6" xfId="0" applyFont="1" applyFill="1" applyBorder="1" applyAlignment="1">
      <alignment horizontal="left" indent="8"/>
    </xf>
    <xf numFmtId="0" fontId="4" fillId="3" borderId="7" xfId="0" applyFont="1" applyFill="1" applyBorder="1" applyAlignment="1">
      <alignment horizontal="left" indent="8"/>
    </xf>
    <xf numFmtId="0" fontId="5" fillId="4" borderId="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left" indent="8"/>
    </xf>
    <xf numFmtId="0" fontId="7" fillId="3" borderId="7" xfId="0" applyFont="1" applyFill="1" applyBorder="1" applyAlignment="1">
      <alignment horizontal="left" indent="8"/>
    </xf>
    <xf numFmtId="0" fontId="7" fillId="3" borderId="4" xfId="0" applyFont="1" applyFill="1" applyBorder="1" applyAlignment="1">
      <alignment horizontal="left" indent="8"/>
    </xf>
    <xf numFmtId="0" fontId="7" fillId="3" borderId="3" xfId="0" applyFont="1" applyFill="1" applyBorder="1" applyAlignment="1">
      <alignment horizontal="left" indent="8"/>
    </xf>
    <xf numFmtId="0" fontId="4" fillId="0" borderId="4" xfId="0" applyFont="1" applyBorder="1" applyAlignment="1">
      <alignment horizontal="left" indent="8"/>
    </xf>
    <xf numFmtId="0" fontId="4" fillId="0" borderId="3" xfId="0" applyFont="1" applyBorder="1" applyAlignment="1">
      <alignment horizontal="left" indent="8"/>
    </xf>
    <xf numFmtId="0" fontId="4" fillId="0" borderId="10" xfId="0" applyFont="1" applyBorder="1" applyAlignment="1">
      <alignment horizontal="left" indent="8"/>
    </xf>
    <xf numFmtId="0" fontId="4" fillId="0" borderId="11" xfId="0" applyFont="1" applyBorder="1" applyAlignment="1">
      <alignment horizontal="left" indent="8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10" borderId="0" xfId="0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CE2-4CDD-ACC6-DC7B0C0BF0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CE2-4CDD-ACC6-DC7B0C0BF02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CE2-4CDD-ACC6-DC7B0C0BF02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CE2-4CDD-ACC6-DC7B0C0BF02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CE2-4CDD-ACC6-DC7B0C0BF02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CE2-4CDD-ACC6-DC7B0C0BF0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APP!$B$30:$B$35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FOF's 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APP!$C$30:$C$35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CE-40E1-A799-9D407E32AC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564776</xdr:colOff>
      <xdr:row>37</xdr:row>
      <xdr:rowOff>49353</xdr:rowOff>
    </xdr:from>
    <xdr:to>
      <xdr:col>3</xdr:col>
      <xdr:colOff>1685364</xdr:colOff>
      <xdr:row>52</xdr:row>
      <xdr:rowOff>127000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A8D7D0-355B-0E85-BF8F-6D53C60C9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564644</xdr:colOff>
      <xdr:row>0</xdr:row>
      <xdr:rowOff>29081</xdr:rowOff>
    </xdr:from>
    <xdr:to>
      <xdr:col>4</xdr:col>
      <xdr:colOff>29907</xdr:colOff>
      <xdr:row>4</xdr:row>
      <xdr:rowOff>54722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F729ED-649C-44B5-94E1-E5822FB73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564644" y="29081"/>
          <a:ext cx="6975284" cy="976177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0AB84-4F6F-4D1F-B85D-266F08E16FC2}">
  <dimension ref="A2:K69"/>
  <sheetViews>
    <sheetView showGridLines="0" showRowColHeaders="0" tabSelected="1" zoomScale="65" zoomScaleNormal="85" workbookViewId="0">
      <selection activeCell="E6" sqref="E6"/>
    </sheetView>
  </sheetViews>
  <sheetFormatPr defaultColWidth="0" defaultRowHeight="14.4" x14ac:dyDescent="0.3"/>
  <cols>
    <col min="1" max="1" width="8.88671875" customWidth="1"/>
    <col min="2" max="2" width="54.44140625" customWidth="1"/>
    <col min="3" max="3" width="21.5546875" bestFit="1" customWidth="1"/>
    <col min="4" max="4" width="24.6640625" bestFit="1" customWidth="1"/>
    <col min="5" max="5" width="23.33203125" bestFit="1" customWidth="1"/>
    <col min="6" max="6" width="11.88671875" hidden="1" customWidth="1"/>
    <col min="7" max="11" width="8.88671875" hidden="1" customWidth="1"/>
  </cols>
  <sheetData>
    <row r="2" spans="2:6" ht="19.95" customHeight="1" x14ac:dyDescent="0.3">
      <c r="B2" s="56"/>
      <c r="C2" s="56"/>
      <c r="D2" s="56"/>
      <c r="E2" s="56"/>
    </row>
    <row r="3" spans="2:6" ht="26.4" customHeight="1" x14ac:dyDescent="0.3">
      <c r="B3" s="56"/>
      <c r="C3" s="56"/>
      <c r="D3" s="56"/>
      <c r="E3" s="56"/>
    </row>
    <row r="4" spans="2:6" x14ac:dyDescent="0.3">
      <c r="B4" s="56"/>
      <c r="C4" s="56"/>
      <c r="D4" s="56"/>
      <c r="E4" s="56"/>
    </row>
    <row r="5" spans="2:6" ht="15" thickBot="1" x14ac:dyDescent="0.35"/>
    <row r="6" spans="2:6" ht="31.8" x14ac:dyDescent="0.3">
      <c r="B6" s="42" t="s">
        <v>11</v>
      </c>
      <c r="C6" s="43"/>
      <c r="D6" s="44"/>
    </row>
    <row r="7" spans="2:6" ht="17.399999999999999" x14ac:dyDescent="0.45">
      <c r="B7" s="36" t="s">
        <v>12</v>
      </c>
      <c r="C7" s="37"/>
      <c r="D7" s="5">
        <v>2000</v>
      </c>
      <c r="E7" s="13"/>
    </row>
    <row r="8" spans="2:6" ht="14.4" customHeight="1" x14ac:dyDescent="0.3">
      <c r="B8" s="38" t="s">
        <v>13</v>
      </c>
      <c r="C8" s="39"/>
      <c r="D8" s="6">
        <v>6.0000000000000001E-3</v>
      </c>
    </row>
    <row r="9" spans="2:6" ht="15" customHeight="1" thickBot="1" x14ac:dyDescent="0.35">
      <c r="B9" s="40" t="s">
        <v>35</v>
      </c>
      <c r="C9" s="41"/>
      <c r="D9" s="10">
        <f>D7*30%</f>
        <v>600</v>
      </c>
    </row>
    <row r="10" spans="2:6" ht="15" thickBot="1" x14ac:dyDescent="0.35"/>
    <row r="11" spans="2:6" ht="31.8" x14ac:dyDescent="0.3">
      <c r="B11" s="53" t="s">
        <v>0</v>
      </c>
      <c r="C11" s="54"/>
      <c r="D11" s="55"/>
    </row>
    <row r="12" spans="2:6" ht="15.6" x14ac:dyDescent="0.3">
      <c r="B12" s="51" t="s">
        <v>1</v>
      </c>
      <c r="C12" s="52"/>
      <c r="D12" s="15">
        <v>200</v>
      </c>
    </row>
    <row r="13" spans="2:6" ht="14.4" customHeight="1" x14ac:dyDescent="0.3">
      <c r="B13" s="49" t="s">
        <v>2</v>
      </c>
      <c r="C13" s="50"/>
      <c r="D13" s="16">
        <v>5</v>
      </c>
    </row>
    <row r="14" spans="2:6" ht="14.4" customHeight="1" x14ac:dyDescent="0.3">
      <c r="B14" s="49" t="s">
        <v>3</v>
      </c>
      <c r="C14" s="50"/>
      <c r="D14" s="17">
        <v>1.0789999999999999E-2</v>
      </c>
    </row>
    <row r="15" spans="2:6" ht="14.4" customHeight="1" x14ac:dyDescent="0.3">
      <c r="B15" s="47" t="s">
        <v>4</v>
      </c>
      <c r="C15" s="48"/>
      <c r="D15" s="18">
        <f>FV(taxa_mensal,qtd_anos*12,aporte*-1)</f>
        <v>16755.382799697527</v>
      </c>
    </row>
    <row r="16" spans="2:6" ht="15" customHeight="1" thickBot="1" x14ac:dyDescent="0.35">
      <c r="B16" s="45" t="s">
        <v>5</v>
      </c>
      <c r="C16" s="46"/>
      <c r="D16" s="19">
        <f>patrimonio*rendimento_carteira</f>
        <v>100.53229679818516</v>
      </c>
      <c r="F16" s="4"/>
    </row>
    <row r="17" spans="1:4" ht="15" thickBot="1" x14ac:dyDescent="0.35">
      <c r="C17" s="1"/>
    </row>
    <row r="18" spans="1:4" ht="31.8" x14ac:dyDescent="0.3">
      <c r="B18" s="34" t="s">
        <v>14</v>
      </c>
      <c r="C18" s="35"/>
      <c r="D18" s="14" t="s">
        <v>15</v>
      </c>
    </row>
    <row r="19" spans="1:4" ht="15.6" x14ac:dyDescent="0.3">
      <c r="A19" s="3">
        <v>2</v>
      </c>
      <c r="B19" s="11" t="s">
        <v>6</v>
      </c>
      <c r="C19" s="7">
        <f>FV(D$14,$A19*12,$D$12*-1)</f>
        <v>5445.5254595290435</v>
      </c>
      <c r="D19" s="8">
        <f>C19*rendimento_carteira</f>
        <v>32.673152757174265</v>
      </c>
    </row>
    <row r="20" spans="1:4" ht="15.6" x14ac:dyDescent="0.3">
      <c r="A20" s="3">
        <v>5</v>
      </c>
      <c r="B20" s="11" t="s">
        <v>7</v>
      </c>
      <c r="C20" s="7">
        <f>FV(D$14,$A20*12,$D$12*-1)</f>
        <v>16755.382799697527</v>
      </c>
      <c r="D20" s="8">
        <f>C20*rendimento_carteira</f>
        <v>100.53229679818516</v>
      </c>
    </row>
    <row r="21" spans="1:4" ht="15.6" x14ac:dyDescent="0.3">
      <c r="A21" s="3">
        <v>10</v>
      </c>
      <c r="B21" s="11" t="s">
        <v>8</v>
      </c>
      <c r="C21" s="7">
        <f>FV(D$14,$A21*12,$D$12*-1)</f>
        <v>48656.842506034438</v>
      </c>
      <c r="D21" s="8">
        <f>C21*rendimento_carteira</f>
        <v>291.94105503620665</v>
      </c>
    </row>
    <row r="22" spans="1:4" ht="15.6" x14ac:dyDescent="0.3">
      <c r="A22" s="3">
        <v>20</v>
      </c>
      <c r="B22" s="11" t="s">
        <v>9</v>
      </c>
      <c r="C22" s="7">
        <f>FV(D$14,$A22*12,$D$12*-1)</f>
        <v>225039.68001941612</v>
      </c>
      <c r="D22" s="8">
        <f>C22*rendimento_carteira</f>
        <v>1350.2380801164968</v>
      </c>
    </row>
    <row r="23" spans="1:4" ht="16.2" thickBot="1" x14ac:dyDescent="0.35">
      <c r="A23" s="3">
        <v>30</v>
      </c>
      <c r="B23" s="12" t="s">
        <v>10</v>
      </c>
      <c r="C23" s="9">
        <f>FV(D$14,$A23*12,$D$12*-1)</f>
        <v>864433.93100094295</v>
      </c>
      <c r="D23" s="10">
        <f>C23*rendimento_carteira</f>
        <v>5186.6035860056581</v>
      </c>
    </row>
    <row r="24" spans="1:4" x14ac:dyDescent="0.3">
      <c r="C24" s="2"/>
    </row>
    <row r="26" spans="1:4" x14ac:dyDescent="0.3">
      <c r="B26" s="20" t="s">
        <v>16</v>
      </c>
      <c r="C26" s="31" t="s">
        <v>34</v>
      </c>
      <c r="D26" s="20"/>
    </row>
    <row r="27" spans="1:4" x14ac:dyDescent="0.3">
      <c r="B27" s="21" t="s">
        <v>17</v>
      </c>
      <c r="C27" s="25">
        <f>aporte</f>
        <v>200</v>
      </c>
      <c r="D27" s="21"/>
    </row>
    <row r="29" spans="1:4" x14ac:dyDescent="0.3">
      <c r="B29" s="24" t="s">
        <v>18</v>
      </c>
      <c r="C29" s="24" t="s">
        <v>20</v>
      </c>
      <c r="D29" s="24" t="s">
        <v>19</v>
      </c>
    </row>
    <row r="30" spans="1:4" x14ac:dyDescent="0.3">
      <c r="B30" s="22" t="s">
        <v>21</v>
      </c>
      <c r="C30" s="23">
        <f>VLOOKUP($C$26&amp;"-"&amp;B30,Planilha2!$A:$D,4,FALSE)</f>
        <v>0.32</v>
      </c>
      <c r="D30" s="32">
        <f>C30*$C$27</f>
        <v>64</v>
      </c>
    </row>
    <row r="31" spans="1:4" x14ac:dyDescent="0.3">
      <c r="B31" s="22" t="s">
        <v>22</v>
      </c>
      <c r="C31" s="23">
        <f>VLOOKUP($C$26&amp;"-"&amp;B31,Planilha2!$A:$D,4,FALSE)</f>
        <v>0.35</v>
      </c>
      <c r="D31" s="32">
        <f t="shared" ref="D31:D35" si="0">C31*$C$27</f>
        <v>70</v>
      </c>
    </row>
    <row r="32" spans="1:4" x14ac:dyDescent="0.3">
      <c r="B32" s="22" t="s">
        <v>23</v>
      </c>
      <c r="C32" s="23">
        <f>VLOOKUP($C$26&amp;"-"&amp;B32,Planilha2!$A:$D,4,FALSE)</f>
        <v>0.08</v>
      </c>
      <c r="D32" s="32">
        <f t="shared" si="0"/>
        <v>16</v>
      </c>
    </row>
    <row r="33" spans="2:4" x14ac:dyDescent="0.3">
      <c r="B33" s="22" t="s">
        <v>24</v>
      </c>
      <c r="C33" s="23">
        <f>VLOOKUP($C$26&amp;"-"&amp;B33,Planilha2!$A:$D,4,FALSE)</f>
        <v>0.05</v>
      </c>
      <c r="D33" s="32">
        <f t="shared" si="0"/>
        <v>10</v>
      </c>
    </row>
    <row r="34" spans="2:4" x14ac:dyDescent="0.3">
      <c r="B34" s="22" t="s">
        <v>25</v>
      </c>
      <c r="C34" s="23">
        <f>VLOOKUP($C$26&amp;"-"&amp;B34,Planilha2!$A:$D,4,FALSE)</f>
        <v>0.1</v>
      </c>
      <c r="D34" s="32">
        <f t="shared" si="0"/>
        <v>20</v>
      </c>
    </row>
    <row r="35" spans="2:4" x14ac:dyDescent="0.3">
      <c r="B35" s="22" t="s">
        <v>26</v>
      </c>
      <c r="C35" s="23">
        <f>VLOOKUP($C$26&amp;"-"&amp;B35,Planilha2!$A:$D,4,FALSE)</f>
        <v>0.1</v>
      </c>
      <c r="D35" s="32">
        <f t="shared" si="0"/>
        <v>20</v>
      </c>
    </row>
    <row r="36" spans="2:4" x14ac:dyDescent="0.3">
      <c r="B36" s="21"/>
      <c r="C36" s="21"/>
      <c r="D36" s="25">
        <f>SUM(D30:D35)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</sheetData>
  <mergeCells count="11">
    <mergeCell ref="B18:C18"/>
    <mergeCell ref="B7:C7"/>
    <mergeCell ref="B8:C8"/>
    <mergeCell ref="B9:C9"/>
    <mergeCell ref="B6:D6"/>
    <mergeCell ref="B16:C16"/>
    <mergeCell ref="B15:C15"/>
    <mergeCell ref="B14:C14"/>
    <mergeCell ref="B13:C13"/>
    <mergeCell ref="B12:C12"/>
    <mergeCell ref="B11:D11"/>
  </mergeCells>
  <dataValidations count="1">
    <dataValidation type="list" allowBlank="1" showInputMessage="1" showErrorMessage="1" sqref="C26" xr:uid="{FD3A6165-8AA4-4AF7-8B47-F1B874333EF1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0F932-D596-46D0-9CF2-A54D84DD2977}">
  <dimension ref="A2:H21"/>
  <sheetViews>
    <sheetView zoomScale="92" workbookViewId="0">
      <selection activeCell="F8" sqref="F8"/>
    </sheetView>
  </sheetViews>
  <sheetFormatPr defaultRowHeight="14.4" x14ac:dyDescent="0.3"/>
  <cols>
    <col min="1" max="1" width="31.5546875" bestFit="1" customWidth="1"/>
    <col min="2" max="2" width="14" bestFit="1" customWidth="1"/>
    <col min="3" max="3" width="17.6640625" bestFit="1" customWidth="1"/>
    <col min="7" max="7" width="17.33203125" bestFit="1" customWidth="1"/>
  </cols>
  <sheetData>
    <row r="2" spans="1:8" x14ac:dyDescent="0.3">
      <c r="A2" s="33" t="s">
        <v>30</v>
      </c>
      <c r="B2" s="33" t="s">
        <v>16</v>
      </c>
      <c r="C2" s="33" t="s">
        <v>27</v>
      </c>
      <c r="D2" s="33" t="s">
        <v>29</v>
      </c>
    </row>
    <row r="3" spans="1:8" hidden="1" x14ac:dyDescent="0.3">
      <c r="C3" s="22" t="s">
        <v>21</v>
      </c>
    </row>
    <row r="4" spans="1:8" x14ac:dyDescent="0.3">
      <c r="A4" t="str">
        <f>B4&amp;"-"&amp;C4</f>
        <v>CONSERVADOR-PAPEL</v>
      </c>
      <c r="B4" t="s">
        <v>28</v>
      </c>
      <c r="C4" s="22" t="s">
        <v>21</v>
      </c>
      <c r="D4" s="23">
        <v>0.3</v>
      </c>
      <c r="H4" t="s">
        <v>29</v>
      </c>
    </row>
    <row r="5" spans="1:8" x14ac:dyDescent="0.3">
      <c r="A5" t="str">
        <f t="shared" ref="A5:A21" si="0">B5&amp;"-"&amp;C5</f>
        <v>CONSERVADOR-TIJOLO</v>
      </c>
      <c r="B5" t="s">
        <v>28</v>
      </c>
      <c r="C5" s="22" t="s">
        <v>22</v>
      </c>
      <c r="D5" s="23">
        <v>0.5</v>
      </c>
      <c r="G5" s="29" t="s">
        <v>33</v>
      </c>
      <c r="H5" s="30">
        <f>VLOOKUP(G5,$A:$D,4,FALSE)</f>
        <v>0.35</v>
      </c>
    </row>
    <row r="6" spans="1:8" x14ac:dyDescent="0.3">
      <c r="A6" t="str">
        <f t="shared" si="0"/>
        <v>CONSERVADOR-HÍBRIDOS</v>
      </c>
      <c r="B6" t="s">
        <v>28</v>
      </c>
      <c r="C6" s="22" t="s">
        <v>23</v>
      </c>
      <c r="D6" s="23">
        <v>0.1</v>
      </c>
    </row>
    <row r="7" spans="1:8" x14ac:dyDescent="0.3">
      <c r="A7" t="str">
        <f t="shared" si="0"/>
        <v xml:space="preserve">CONSERVADOR-FOF's </v>
      </c>
      <c r="B7" t="s">
        <v>28</v>
      </c>
      <c r="C7" s="22" t="s">
        <v>24</v>
      </c>
      <c r="D7" s="23">
        <v>0.1</v>
      </c>
    </row>
    <row r="8" spans="1:8" x14ac:dyDescent="0.3">
      <c r="A8" t="str">
        <f t="shared" si="0"/>
        <v>CONSERVADOR-DESENVOLVIMENTO</v>
      </c>
      <c r="B8" t="s">
        <v>28</v>
      </c>
      <c r="C8" s="22" t="s">
        <v>25</v>
      </c>
      <c r="D8" s="23">
        <v>0</v>
      </c>
    </row>
    <row r="9" spans="1:8" ht="15" thickBot="1" x14ac:dyDescent="0.35">
      <c r="A9" s="26" t="str">
        <f t="shared" si="0"/>
        <v>CONSERVADOR-HOTELARIAS</v>
      </c>
      <c r="B9" s="26" t="s">
        <v>28</v>
      </c>
      <c r="C9" s="27" t="s">
        <v>26</v>
      </c>
      <c r="D9" s="28">
        <v>0</v>
      </c>
    </row>
    <row r="10" spans="1:8" x14ac:dyDescent="0.3">
      <c r="A10" t="str">
        <f t="shared" si="0"/>
        <v>MODERADO-PAPEL</v>
      </c>
      <c r="B10" t="s">
        <v>31</v>
      </c>
      <c r="C10" s="22" t="s">
        <v>21</v>
      </c>
      <c r="D10" s="23">
        <v>0.32</v>
      </c>
    </row>
    <row r="11" spans="1:8" x14ac:dyDescent="0.3">
      <c r="A11" t="str">
        <f t="shared" si="0"/>
        <v>MODERADO-TIJOLO</v>
      </c>
      <c r="B11" t="s">
        <v>31</v>
      </c>
      <c r="C11" s="22" t="s">
        <v>22</v>
      </c>
      <c r="D11" s="23">
        <v>0.35</v>
      </c>
    </row>
    <row r="12" spans="1:8" x14ac:dyDescent="0.3">
      <c r="A12" t="str">
        <f t="shared" si="0"/>
        <v>MODERADO-HÍBRIDOS</v>
      </c>
      <c r="B12" t="s">
        <v>31</v>
      </c>
      <c r="C12" s="22" t="s">
        <v>23</v>
      </c>
      <c r="D12" s="23">
        <v>0.08</v>
      </c>
    </row>
    <row r="13" spans="1:8" x14ac:dyDescent="0.3">
      <c r="A13" t="str">
        <f t="shared" si="0"/>
        <v xml:space="preserve">MODERADO-FOF's </v>
      </c>
      <c r="B13" t="s">
        <v>31</v>
      </c>
      <c r="C13" s="22" t="s">
        <v>24</v>
      </c>
      <c r="D13" s="23">
        <v>0.05</v>
      </c>
    </row>
    <row r="14" spans="1:8" x14ac:dyDescent="0.3">
      <c r="A14" t="str">
        <f t="shared" si="0"/>
        <v>MODERADO-DESENVOLVIMENTO</v>
      </c>
      <c r="B14" t="s">
        <v>31</v>
      </c>
      <c r="C14" s="22" t="s">
        <v>25</v>
      </c>
      <c r="D14" s="23">
        <v>0.1</v>
      </c>
    </row>
    <row r="15" spans="1:8" ht="15" thickBot="1" x14ac:dyDescent="0.35">
      <c r="A15" s="26" t="str">
        <f t="shared" si="0"/>
        <v>MODERADO-HOTELARIAS</v>
      </c>
      <c r="B15" s="26" t="s">
        <v>31</v>
      </c>
      <c r="C15" s="27" t="s">
        <v>26</v>
      </c>
      <c r="D15" s="28">
        <v>0.1</v>
      </c>
    </row>
    <row r="16" spans="1:8" x14ac:dyDescent="0.3">
      <c r="A16" t="str">
        <f t="shared" si="0"/>
        <v>AGRESSIVO-PAPEL</v>
      </c>
      <c r="B16" t="s">
        <v>32</v>
      </c>
      <c r="C16" s="22" t="s">
        <v>21</v>
      </c>
      <c r="D16" s="23">
        <v>0.5</v>
      </c>
    </row>
    <row r="17" spans="1:4" x14ac:dyDescent="0.3">
      <c r="A17" t="str">
        <f t="shared" si="0"/>
        <v>AGRESSIVO-TIJOLO</v>
      </c>
      <c r="B17" t="s">
        <v>32</v>
      </c>
      <c r="C17" s="22" t="s">
        <v>22</v>
      </c>
      <c r="D17" s="23">
        <v>0.1</v>
      </c>
    </row>
    <row r="18" spans="1:4" x14ac:dyDescent="0.3">
      <c r="A18" t="str">
        <f t="shared" si="0"/>
        <v>AGRESSIVO-HÍBRIDOS</v>
      </c>
      <c r="B18" t="s">
        <v>32</v>
      </c>
      <c r="C18" s="22" t="s">
        <v>23</v>
      </c>
      <c r="D18" s="23">
        <v>0.05</v>
      </c>
    </row>
    <row r="19" spans="1:4" x14ac:dyDescent="0.3">
      <c r="A19" t="str">
        <f t="shared" si="0"/>
        <v xml:space="preserve">AGRESSIVO-FOF's </v>
      </c>
      <c r="B19" t="s">
        <v>32</v>
      </c>
      <c r="C19" s="22" t="s">
        <v>24</v>
      </c>
      <c r="D19" s="23">
        <v>0.05</v>
      </c>
    </row>
    <row r="20" spans="1:4" x14ac:dyDescent="0.3">
      <c r="A20" t="str">
        <f t="shared" si="0"/>
        <v>AGRESSIVO-DESENVOLVIMENTO</v>
      </c>
      <c r="B20" t="s">
        <v>32</v>
      </c>
      <c r="C20" s="22" t="s">
        <v>25</v>
      </c>
      <c r="D20" s="23">
        <v>0.2</v>
      </c>
    </row>
    <row r="21" spans="1:4" x14ac:dyDescent="0.3">
      <c r="A21" t="str">
        <f t="shared" si="0"/>
        <v>AGRESSIVO-HOTELARIAS</v>
      </c>
      <c r="B21" t="s">
        <v>32</v>
      </c>
      <c r="C21" s="22" t="s">
        <v>26</v>
      </c>
      <c r="D21" s="23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APP</vt:lpstr>
      <vt:lpstr>Planilha2</vt:lpstr>
      <vt:lpstr>aporte</vt:lpstr>
      <vt:lpstr>patrimonio</vt:lpstr>
      <vt:lpstr>qtd_anos</vt:lpstr>
      <vt:lpstr>rendimento</vt:lpstr>
      <vt:lpstr>rendimento_carteira</vt:lpstr>
      <vt:lpstr>salario</vt:lpstr>
      <vt:lpstr>salário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da Silva Morais</dc:creator>
  <cp:lastModifiedBy>Fernanda da Silva Morais</cp:lastModifiedBy>
  <dcterms:created xsi:type="dcterms:W3CDTF">2025-12-29T20:59:19Z</dcterms:created>
  <dcterms:modified xsi:type="dcterms:W3CDTF">2026-01-14T12:16:28Z</dcterms:modified>
</cp:coreProperties>
</file>